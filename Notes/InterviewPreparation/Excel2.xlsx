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Summary/"/>
    </mc:Choice>
  </mc:AlternateContent>
  <xr:revisionPtr revIDLastSave="1" documentId="8_{83230059-317E-C34E-8604-51D21670F4CD}" xr6:coauthVersionLast="47" xr6:coauthVersionMax="47" xr10:uidLastSave="{0ADD8429-BF53-B54C-818A-F4FF84D9C780}"/>
  <bookViews>
    <workbookView xWindow="0" yWindow="760" windowWidth="30240" windowHeight="17680" xr2:uid="{0E9F88F3-5439-5249-AC11-B5DC76B709E9}"/>
  </bookViews>
  <sheets>
    <sheet name="Practice" sheetId="11" r:id="rId1"/>
    <sheet name="Problem 1" sheetId="14" r:id="rId2"/>
    <sheet name="Problem 2" sheetId="15" r:id="rId3"/>
    <sheet name="Problem 3" sheetId="16" r:id="rId4"/>
    <sheet name="Users" sheetId="6" r:id="rId5"/>
    <sheet name="Order Items" sheetId="2" r:id="rId6"/>
    <sheet name="Order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4" l="1" a="1"/>
  <c r="A7" i="14" s="1"/>
  <c r="A8" i="16"/>
  <c r="G4" i="15"/>
  <c r="G3" i="15"/>
  <c r="G2" i="15"/>
  <c r="G55" i="11" a="1"/>
  <c r="G55" i="11" s="1"/>
  <c r="G54" i="11"/>
  <c r="G53" i="11"/>
  <c r="G52" i="11"/>
  <c r="D55" i="11"/>
  <c r="D47" i="11"/>
  <c r="N44" i="11" a="1"/>
  <c r="N44" i="11" s="1"/>
  <c r="V44" i="11" a="1"/>
  <c r="V44" i="11" s="1"/>
  <c r="G44" i="11" a="1"/>
  <c r="G44" i="11" s="1"/>
  <c r="F39" i="11"/>
  <c r="F37" i="11"/>
  <c r="F38" i="11"/>
  <c r="F36" i="11"/>
  <c r="G31" i="11"/>
  <c r="I29" i="11" a="1"/>
  <c r="I29" i="11" s="1"/>
  <c r="G29" i="11"/>
  <c r="I30" i="11" a="1"/>
  <c r="I30" i="11" s="1"/>
  <c r="G30" i="11"/>
  <c r="M21" i="11" a="1"/>
  <c r="M21" i="11" s="1"/>
  <c r="G21" i="11" a="1"/>
  <c r="G21" i="11" s="1"/>
  <c r="G15" i="11"/>
  <c r="G17" i="11"/>
  <c r="G16" i="11"/>
  <c r="G14" i="11"/>
  <c r="G13" i="11"/>
  <c r="G12" i="11"/>
  <c r="G11" i="11"/>
  <c r="H7" i="11"/>
  <c r="H6" i="11"/>
  <c r="H5" i="11"/>
  <c r="H4" i="11"/>
  <c r="H3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<sst xmlns="http://schemas.openxmlformats.org/spreadsheetml/2006/main" count="170" uniqueCount="67">
  <si>
    <t>order_id</t>
  </si>
  <si>
    <t>user_id</t>
  </si>
  <si>
    <t>order_date</t>
  </si>
  <si>
    <t>revenue</t>
  </si>
  <si>
    <t>status</t>
  </si>
  <si>
    <t>completed</t>
  </si>
  <si>
    <t>cancelled</t>
  </si>
  <si>
    <t>signup_date</t>
  </si>
  <si>
    <t>country</t>
  </si>
  <si>
    <t>US</t>
  </si>
  <si>
    <t>CA</t>
  </si>
  <si>
    <t>UK</t>
  </si>
  <si>
    <t>item_id</t>
  </si>
  <si>
    <t>product</t>
  </si>
  <si>
    <t>Keyboard</t>
  </si>
  <si>
    <t>Mouse</t>
  </si>
  <si>
    <t>Monitor</t>
  </si>
  <si>
    <t>HDMI Cable</t>
  </si>
  <si>
    <t>quantity</t>
  </si>
  <si>
    <t>item_price</t>
  </si>
  <si>
    <t>Minimum</t>
  </si>
  <si>
    <t>Sum</t>
  </si>
  <si>
    <t>Basic Arithmetic Formulas</t>
  </si>
  <si>
    <t>Addition</t>
  </si>
  <si>
    <t>Subtraction</t>
  </si>
  <si>
    <t>Multiplication</t>
  </si>
  <si>
    <t>Division</t>
  </si>
  <si>
    <t>Division by 0</t>
  </si>
  <si>
    <t>Core Aggregation Functions</t>
  </si>
  <si>
    <t>Average</t>
  </si>
  <si>
    <t>Max</t>
  </si>
  <si>
    <t>Count (only includes rows with numbers)</t>
  </si>
  <si>
    <t>CountA(includes  non-empty cells)</t>
  </si>
  <si>
    <t>CountBlank(counts blank cells)</t>
  </si>
  <si>
    <t xml:space="preserve"> blue</t>
  </si>
  <si>
    <t>Conditional Logic</t>
  </si>
  <si>
    <t>Basic IF determining which revenues are over or under 50</t>
  </si>
  <si>
    <t>Nested IF with even more attributes</t>
  </si>
  <si>
    <t>Logical Operators</t>
  </si>
  <si>
    <t>AND</t>
  </si>
  <si>
    <t>OR</t>
  </si>
  <si>
    <t>NOT</t>
  </si>
  <si>
    <t>Conditional Aggregation</t>
  </si>
  <si>
    <t>SUMIF</t>
  </si>
  <si>
    <t>COUNTIF</t>
  </si>
  <si>
    <t>AVERAGEIF</t>
  </si>
  <si>
    <t>Multiple Conditions</t>
  </si>
  <si>
    <t>Handling Missing Data Safely</t>
  </si>
  <si>
    <t>IFERROR created a new revenue row replacing errors with 0</t>
  </si>
  <si>
    <t>ISBLANK returns a row of booleans depending on it the value is blank or not</t>
  </si>
  <si>
    <t>IF can return a row that manipulates the values depending on criteria</t>
  </si>
  <si>
    <t> </t>
  </si>
  <si>
    <t xml:space="preserve">  </t>
  </si>
  <si>
    <t>Text Formulas</t>
  </si>
  <si>
    <t>TRIM</t>
  </si>
  <si>
    <t>UPPER</t>
  </si>
  <si>
    <t>LOWER</t>
  </si>
  <si>
    <t>Concatentation</t>
  </si>
  <si>
    <t>Text-to-Columns and Flash Fill</t>
  </si>
  <si>
    <t>Smith</t>
  </si>
  <si>
    <t xml:space="preserve"> Dylan</t>
  </si>
  <si>
    <t>Text-to-Columns</t>
  </si>
  <si>
    <t>Dylan</t>
  </si>
  <si>
    <t>Dylan Shryer</t>
  </si>
  <si>
    <t>Mia Thornton</t>
  </si>
  <si>
    <t>Mia</t>
  </si>
  <si>
    <t>Flash-Fill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</si>
</sst>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merican Typewriter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14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16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237C-4BCB-8B43-8705-51FE7987F7E1}">
  <dimension ref="A1:W65"/>
  <sheetViews>
    <sheetView tabSelected="1" topLeftCell="A33" workbookViewId="0">
      <selection activeCell="C64" sqref="C64"/>
    </sheetView>
  </sheetViews>
  <sheetFormatPr baseColWidth="10" defaultRowHeight="16" x14ac:dyDescent="0.2"/>
  <cols>
    <col min="2" max="2" width="13.5" customWidth="1"/>
  </cols>
  <sheetData>
    <row r="1" spans="1:8" x14ac:dyDescent="0.2">
      <c r="A1" t="s">
        <v>22</v>
      </c>
      <c r="E1" s="7"/>
    </row>
    <row r="2" spans="1:8" x14ac:dyDescent="0.2">
      <c r="A2" t="s">
        <v>12</v>
      </c>
      <c r="B2" t="s">
        <v>0</v>
      </c>
      <c r="C2" t="s">
        <v>13</v>
      </c>
      <c r="D2" t="s">
        <v>18</v>
      </c>
      <c r="E2" t="s">
        <v>19</v>
      </c>
    </row>
    <row r="3" spans="1:8" x14ac:dyDescent="0.2">
      <c r="A3">
        <v>1</v>
      </c>
      <c r="B3">
        <v>101</v>
      </c>
      <c r="C3" t="s">
        <v>14</v>
      </c>
      <c r="D3">
        <v>1</v>
      </c>
      <c r="E3">
        <v>50</v>
      </c>
      <c r="G3" t="s">
        <v>23</v>
      </c>
      <c r="H3">
        <f>E3+E4</f>
        <v>80</v>
      </c>
    </row>
    <row r="4" spans="1:8" x14ac:dyDescent="0.2">
      <c r="A4">
        <v>2</v>
      </c>
      <c r="B4">
        <v>102</v>
      </c>
      <c r="C4" t="s">
        <v>15</v>
      </c>
      <c r="D4">
        <v>1</v>
      </c>
      <c r="E4">
        <v>30</v>
      </c>
      <c r="G4" t="s">
        <v>24</v>
      </c>
      <c r="H4">
        <f>E3-E4</f>
        <v>20</v>
      </c>
    </row>
    <row r="5" spans="1:8" x14ac:dyDescent="0.2">
      <c r="A5">
        <v>3</v>
      </c>
      <c r="B5">
        <v>104</v>
      </c>
      <c r="C5" t="s">
        <v>16</v>
      </c>
      <c r="D5">
        <v>1</v>
      </c>
      <c r="E5">
        <v>80</v>
      </c>
      <c r="G5" t="s">
        <v>25</v>
      </c>
      <c r="H5">
        <f>E3 * E4</f>
        <v>1500</v>
      </c>
    </row>
    <row r="6" spans="1:8" x14ac:dyDescent="0.2">
      <c r="A6">
        <v>4</v>
      </c>
      <c r="B6">
        <v>104</v>
      </c>
      <c r="C6" t="s">
        <v>17</v>
      </c>
      <c r="D6">
        <v>2</v>
      </c>
      <c r="E6">
        <v>10</v>
      </c>
      <c r="G6" t="s">
        <v>26</v>
      </c>
      <c r="H6">
        <f>E3/E4</f>
        <v>1.6666666666666667</v>
      </c>
    </row>
    <row r="7" spans="1:8" x14ac:dyDescent="0.2">
      <c r="E7">
        <v>0</v>
      </c>
      <c r="G7" t="s">
        <v>27</v>
      </c>
      <c r="H7">
        <f>IFERROR(E6/E7, 0)</f>
        <v>0</v>
      </c>
    </row>
    <row r="9" spans="1:8" x14ac:dyDescent="0.2">
      <c r="A9" t="s">
        <v>28</v>
      </c>
    </row>
    <row r="10" spans="1:8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</row>
    <row r="11" spans="1:8" x14ac:dyDescent="0.2">
      <c r="A11">
        <v>101</v>
      </c>
      <c r="B11">
        <v>1</v>
      </c>
      <c r="C11" s="1">
        <v>45323</v>
      </c>
      <c r="D11">
        <v>50</v>
      </c>
      <c r="E11" t="s">
        <v>5</v>
      </c>
      <c r="G11">
        <f>SUM(D11:D14)</f>
        <v>180</v>
      </c>
      <c r="H11" t="s">
        <v>21</v>
      </c>
    </row>
    <row r="12" spans="1:8" x14ac:dyDescent="0.2">
      <c r="A12">
        <v>102</v>
      </c>
      <c r="B12">
        <v>1</v>
      </c>
      <c r="C12" s="1">
        <v>45337</v>
      </c>
      <c r="D12">
        <v>30</v>
      </c>
      <c r="E12" t="s">
        <v>5</v>
      </c>
      <c r="G12">
        <f>AVERAGE(D11:D14)</f>
        <v>45</v>
      </c>
      <c r="H12" t="s">
        <v>29</v>
      </c>
    </row>
    <row r="13" spans="1:8" x14ac:dyDescent="0.2">
      <c r="A13" t="s">
        <v>34</v>
      </c>
      <c r="B13">
        <v>2</v>
      </c>
      <c r="C13" s="1">
        <v>45342</v>
      </c>
      <c r="D13">
        <v>20</v>
      </c>
      <c r="E13" t="s">
        <v>6</v>
      </c>
      <c r="G13">
        <f>MIN(Practice!D11:D14)</f>
        <v>20</v>
      </c>
      <c r="H13" t="s">
        <v>20</v>
      </c>
    </row>
    <row r="14" spans="1:8" x14ac:dyDescent="0.2">
      <c r="A14">
        <v>104</v>
      </c>
      <c r="B14">
        <v>3</v>
      </c>
      <c r="C14" s="1">
        <v>45356</v>
      </c>
      <c r="D14">
        <v>80</v>
      </c>
      <c r="E14" t="s">
        <v>5</v>
      </c>
      <c r="G14">
        <f>MAX(D11:D14)</f>
        <v>80</v>
      </c>
      <c r="H14" t="s">
        <v>30</v>
      </c>
    </row>
    <row r="15" spans="1:8" x14ac:dyDescent="0.2">
      <c r="B15" s="5">
        <v>2</v>
      </c>
      <c r="C15" s="6">
        <v>45511</v>
      </c>
      <c r="D15">
        <v>100</v>
      </c>
      <c r="E15" t="s">
        <v>6</v>
      </c>
      <c r="G15">
        <f>COUNT(A11:A15)</f>
        <v>3</v>
      </c>
      <c r="H15" t="s">
        <v>31</v>
      </c>
    </row>
    <row r="16" spans="1:8" x14ac:dyDescent="0.2">
      <c r="B16" s="2"/>
      <c r="G16">
        <f>COUNTA(A11:A15)</f>
        <v>4</v>
      </c>
      <c r="H16" t="s">
        <v>32</v>
      </c>
    </row>
    <row r="17" spans="1:14" x14ac:dyDescent="0.2">
      <c r="G17">
        <f>COUNTBLANK(A11:A15)</f>
        <v>1</v>
      </c>
      <c r="H17" t="s">
        <v>33</v>
      </c>
    </row>
    <row r="19" spans="1:14" x14ac:dyDescent="0.2">
      <c r="A19" t="s">
        <v>35</v>
      </c>
      <c r="B19" s="3"/>
      <c r="C19" s="4"/>
    </row>
    <row r="20" spans="1:14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</row>
    <row r="21" spans="1:14" x14ac:dyDescent="0.2">
      <c r="A21">
        <v>101</v>
      </c>
      <c r="B21">
        <v>1</v>
      </c>
      <c r="C21" s="1">
        <v>45323</v>
      </c>
      <c r="D21">
        <v>50</v>
      </c>
      <c r="E21" t="s">
        <v>5</v>
      </c>
      <c r="G21" t="str" cm="1">
        <f t="array" ref="G21:G25">IF((D21:D25) &gt;= 50, "High", "Low")</f>
        <v>High</v>
      </c>
      <c r="H21" t="s">
        <v>36</v>
      </c>
      <c r="M21" t="str" cm="1">
        <f t="array" ref="M21:M25">IF((D21:D25) &gt;= 80, "Very High", IF((D21:D25)&gt;= 50, "High", "Low"))</f>
        <v>High</v>
      </c>
      <c r="N21" t="s">
        <v>37</v>
      </c>
    </row>
    <row r="22" spans="1:14" x14ac:dyDescent="0.2">
      <c r="A22">
        <v>102</v>
      </c>
      <c r="B22">
        <v>1</v>
      </c>
      <c r="C22" s="1">
        <v>45337</v>
      </c>
      <c r="D22">
        <v>30</v>
      </c>
      <c r="E22" t="s">
        <v>5</v>
      </c>
      <c r="G22" t="str">
        <v>Low</v>
      </c>
      <c r="M22" t="str">
        <v>Low</v>
      </c>
    </row>
    <row r="23" spans="1:14" x14ac:dyDescent="0.2">
      <c r="A23" t="s">
        <v>34</v>
      </c>
      <c r="B23">
        <v>2</v>
      </c>
      <c r="C23" s="1">
        <v>45342</v>
      </c>
      <c r="D23">
        <v>20</v>
      </c>
      <c r="E23" t="s">
        <v>6</v>
      </c>
      <c r="G23" t="str">
        <v>Low</v>
      </c>
      <c r="M23" t="str">
        <v>Low</v>
      </c>
    </row>
    <row r="24" spans="1:14" x14ac:dyDescent="0.2">
      <c r="A24">
        <v>104</v>
      </c>
      <c r="B24">
        <v>3</v>
      </c>
      <c r="C24" s="1">
        <v>45356</v>
      </c>
      <c r="D24">
        <v>80</v>
      </c>
      <c r="E24" t="s">
        <v>5</v>
      </c>
      <c r="G24" t="str">
        <v>High</v>
      </c>
      <c r="I24" t="s">
        <v>51</v>
      </c>
      <c r="M24" t="str">
        <v>Very High</v>
      </c>
    </row>
    <row r="25" spans="1:14" x14ac:dyDescent="0.2">
      <c r="B25" s="5">
        <v>2</v>
      </c>
      <c r="C25" s="6">
        <v>45511</v>
      </c>
      <c r="D25">
        <v>100</v>
      </c>
      <c r="E25" t="s">
        <v>6</v>
      </c>
      <c r="G25" t="str">
        <v>High</v>
      </c>
      <c r="M25" t="str">
        <v>Very High</v>
      </c>
    </row>
    <row r="26" spans="1:14" x14ac:dyDescent="0.2">
      <c r="H26" t="s">
        <v>51</v>
      </c>
    </row>
    <row r="27" spans="1:14" x14ac:dyDescent="0.2">
      <c r="A27" t="s">
        <v>38</v>
      </c>
      <c r="B27" s="3"/>
      <c r="C27" s="4"/>
    </row>
    <row r="28" spans="1:14" x14ac:dyDescent="0.2">
      <c r="A28" t="s">
        <v>1</v>
      </c>
      <c r="B28" t="s">
        <v>7</v>
      </c>
      <c r="C28" t="s">
        <v>8</v>
      </c>
    </row>
    <row r="29" spans="1:14" x14ac:dyDescent="0.2">
      <c r="A29">
        <v>1</v>
      </c>
      <c r="B29" s="3">
        <v>45292</v>
      </c>
      <c r="C29" s="4" t="s">
        <v>10</v>
      </c>
      <c r="G29" t="b">
        <f>AND(A32 &gt;= 3, B2 = "US")</f>
        <v>0</v>
      </c>
      <c r="H29" t="s">
        <v>39</v>
      </c>
      <c r="I29" t="b" cm="1">
        <f t="array" ref="I29">AND((A29:A33) &gt;= 3, (C29:C33) = "US")</f>
        <v>0</v>
      </c>
    </row>
    <row r="30" spans="1:14" x14ac:dyDescent="0.2">
      <c r="A30">
        <v>2</v>
      </c>
      <c r="B30" s="3">
        <v>45294</v>
      </c>
      <c r="C30" s="4" t="s">
        <v>10</v>
      </c>
      <c r="G30" t="b">
        <f>OR(A31 &gt;= 3, C4 = "US")</f>
        <v>1</v>
      </c>
      <c r="H30" t="s">
        <v>40</v>
      </c>
      <c r="I30" t="b" cm="1">
        <f t="array" ref="I30">OR((A29:A33) &gt;= 3, (C29:C33) = "US")</f>
        <v>1</v>
      </c>
    </row>
    <row r="31" spans="1:14" x14ac:dyDescent="0.2">
      <c r="A31">
        <v>3</v>
      </c>
      <c r="B31" s="3">
        <v>45296</v>
      </c>
      <c r="C31" s="4" t="s">
        <v>11</v>
      </c>
      <c r="G31" t="b">
        <f>NOT(C31 = "US")</f>
        <v>1</v>
      </c>
      <c r="H31" t="s">
        <v>41</v>
      </c>
    </row>
    <row r="32" spans="1:14" x14ac:dyDescent="0.2">
      <c r="A32">
        <v>4</v>
      </c>
      <c r="B32" s="3">
        <v>45298</v>
      </c>
      <c r="C32" s="4" t="s">
        <v>9</v>
      </c>
    </row>
    <row r="33" spans="1:23" x14ac:dyDescent="0.2">
      <c r="A33">
        <v>5</v>
      </c>
      <c r="B33" s="3">
        <v>45301</v>
      </c>
      <c r="C33" s="4" t="s">
        <v>9</v>
      </c>
    </row>
    <row r="34" spans="1:23" x14ac:dyDescent="0.2">
      <c r="B34" s="3"/>
      <c r="C34" s="4"/>
    </row>
    <row r="35" spans="1:23" x14ac:dyDescent="0.2">
      <c r="A35" t="s">
        <v>42</v>
      </c>
      <c r="B35" s="3"/>
      <c r="C35" s="4"/>
    </row>
    <row r="36" spans="1:23" x14ac:dyDescent="0.2">
      <c r="A36" t="s">
        <v>1</v>
      </c>
      <c r="B36" t="s">
        <v>7</v>
      </c>
      <c r="C36" t="s">
        <v>8</v>
      </c>
      <c r="D36" t="s">
        <v>3</v>
      </c>
      <c r="F36">
        <f>SUMIF(C37:C41, "US", D37:D41)</f>
        <v>180</v>
      </c>
      <c r="G36" t="s">
        <v>43</v>
      </c>
    </row>
    <row r="37" spans="1:23" x14ac:dyDescent="0.2">
      <c r="A37">
        <v>1</v>
      </c>
      <c r="B37" s="3">
        <v>45292</v>
      </c>
      <c r="C37" s="4" t="s">
        <v>10</v>
      </c>
      <c r="D37">
        <v>50</v>
      </c>
      <c r="F37">
        <f>COUNTIF(D37:D41, "&gt;=50")</f>
        <v>3</v>
      </c>
      <c r="G37" t="s">
        <v>44</v>
      </c>
    </row>
    <row r="38" spans="1:23" x14ac:dyDescent="0.2">
      <c r="A38">
        <v>2</v>
      </c>
      <c r="B38" s="3">
        <v>45294</v>
      </c>
      <c r="C38" s="4" t="s">
        <v>10</v>
      </c>
      <c r="D38">
        <v>30</v>
      </c>
      <c r="F38">
        <f>AVERAGEIF(D37:D41, "&gt;=85", D37:D41)</f>
        <v>100</v>
      </c>
      <c r="G38" t="s">
        <v>45</v>
      </c>
    </row>
    <row r="39" spans="1:23" x14ac:dyDescent="0.2">
      <c r="A39">
        <v>3</v>
      </c>
      <c r="B39" s="3">
        <v>45296</v>
      </c>
      <c r="C39" s="4" t="s">
        <v>11</v>
      </c>
      <c r="D39">
        <v>20</v>
      </c>
      <c r="F39">
        <f>SUMIFS(D37:D41, C37:C41, "US", D37:D41, "&gt;=50")</f>
        <v>180</v>
      </c>
      <c r="G39" t="s">
        <v>46</v>
      </c>
    </row>
    <row r="40" spans="1:23" x14ac:dyDescent="0.2">
      <c r="A40">
        <v>4</v>
      </c>
      <c r="B40" s="3">
        <v>45298</v>
      </c>
      <c r="C40" s="4" t="s">
        <v>9</v>
      </c>
      <c r="D40">
        <v>80</v>
      </c>
    </row>
    <row r="41" spans="1:23" x14ac:dyDescent="0.2">
      <c r="A41">
        <v>5</v>
      </c>
      <c r="B41" s="3">
        <v>45301</v>
      </c>
      <c r="C41" s="4" t="s">
        <v>9</v>
      </c>
      <c r="D41">
        <v>100</v>
      </c>
    </row>
    <row r="43" spans="1:23" x14ac:dyDescent="0.2">
      <c r="A43" t="s">
        <v>47</v>
      </c>
    </row>
    <row r="44" spans="1:23" x14ac:dyDescent="0.2">
      <c r="A44" t="s">
        <v>0</v>
      </c>
      <c r="B44" t="s">
        <v>1</v>
      </c>
      <c r="C44" t="s">
        <v>2</v>
      </c>
      <c r="D44" t="s">
        <v>3</v>
      </c>
      <c r="E44" t="s">
        <v>4</v>
      </c>
      <c r="G44" cm="1">
        <f t="array" ref="G44:G48">IFERROR(D45:D49, 0)</f>
        <v>50</v>
      </c>
      <c r="H44" t="s">
        <v>48</v>
      </c>
      <c r="N44" t="b" cm="1">
        <f t="array" ref="N44:N48">ISBLANK(A49:A53)</f>
        <v>1</v>
      </c>
      <c r="O44" t="s">
        <v>49</v>
      </c>
      <c r="V44" t="str" cm="1">
        <f t="array" ref="V44:V48">IF(B45:B49 &lt; 3, "Wow", B45:B49)</f>
        <v>Wow</v>
      </c>
      <c r="W44" t="s">
        <v>50</v>
      </c>
    </row>
    <row r="45" spans="1:23" x14ac:dyDescent="0.2">
      <c r="A45">
        <v>101</v>
      </c>
      <c r="B45">
        <v>1</v>
      </c>
      <c r="C45" s="1">
        <v>45323</v>
      </c>
      <c r="D45">
        <v>50</v>
      </c>
      <c r="E45" t="s">
        <v>5</v>
      </c>
      <c r="G45">
        <v>30</v>
      </c>
      <c r="N45" t="b">
        <v>1</v>
      </c>
      <c r="V45" t="str">
        <v>Wow</v>
      </c>
    </row>
    <row r="46" spans="1:23" x14ac:dyDescent="0.2">
      <c r="A46">
        <v>102</v>
      </c>
      <c r="B46">
        <v>1</v>
      </c>
      <c r="C46" s="1">
        <v>45337</v>
      </c>
      <c r="D46">
        <v>30</v>
      </c>
      <c r="E46" t="s">
        <v>5</v>
      </c>
      <c r="G46">
        <v>0</v>
      </c>
      <c r="N46" t="b">
        <v>0</v>
      </c>
      <c r="V46" t="str">
        <v>Wow</v>
      </c>
    </row>
    <row r="47" spans="1:23" x14ac:dyDescent="0.2">
      <c r="A47" t="s">
        <v>34</v>
      </c>
      <c r="B47">
        <v>2</v>
      </c>
      <c r="C47" s="1">
        <v>45342</v>
      </c>
      <c r="D47" t="e">
        <f>20/0</f>
        <v>#DIV/0!</v>
      </c>
      <c r="E47" t="s">
        <v>6</v>
      </c>
      <c r="G47">
        <v>80</v>
      </c>
      <c r="L47" t="s">
        <v>52</v>
      </c>
      <c r="N47" t="b">
        <v>0</v>
      </c>
      <c r="V47">
        <v>3</v>
      </c>
    </row>
    <row r="48" spans="1:23" x14ac:dyDescent="0.2">
      <c r="A48">
        <v>104</v>
      </c>
      <c r="B48">
        <v>3</v>
      </c>
      <c r="C48" s="1">
        <v>45356</v>
      </c>
      <c r="D48">
        <v>80</v>
      </c>
      <c r="E48" t="s">
        <v>5</v>
      </c>
      <c r="G48">
        <v>100</v>
      </c>
      <c r="N48" t="b">
        <v>0</v>
      </c>
      <c r="V48" t="str">
        <v>Wow</v>
      </c>
    </row>
    <row r="49" spans="1:8" x14ac:dyDescent="0.2">
      <c r="B49" s="5">
        <v>2</v>
      </c>
      <c r="C49" s="6">
        <v>45511</v>
      </c>
      <c r="D49">
        <v>100</v>
      </c>
      <c r="E49" t="s">
        <v>6</v>
      </c>
    </row>
    <row r="50" spans="1:8" x14ac:dyDescent="0.2">
      <c r="B50" s="3"/>
      <c r="C50" s="4"/>
    </row>
    <row r="51" spans="1:8" x14ac:dyDescent="0.2">
      <c r="A51" t="s">
        <v>53</v>
      </c>
      <c r="B51" s="3"/>
      <c r="C51" s="4"/>
    </row>
    <row r="52" spans="1:8" x14ac:dyDescent="0.2">
      <c r="A52" t="s">
        <v>0</v>
      </c>
      <c r="B52" t="s">
        <v>1</v>
      </c>
      <c r="C52" t="s">
        <v>2</v>
      </c>
      <c r="D52" t="s">
        <v>3</v>
      </c>
      <c r="E52" t="s">
        <v>4</v>
      </c>
      <c r="G52" t="str">
        <f>TRIM(A55)</f>
        <v>blue</v>
      </c>
      <c r="H52" t="s">
        <v>54</v>
      </c>
    </row>
    <row r="53" spans="1:8" x14ac:dyDescent="0.2">
      <c r="A53">
        <v>101</v>
      </c>
      <c r="B53">
        <v>1</v>
      </c>
      <c r="C53" s="1">
        <v>45323</v>
      </c>
      <c r="D53">
        <v>50</v>
      </c>
      <c r="E53" t="s">
        <v>5</v>
      </c>
      <c r="G53" t="str">
        <f>UPPER(A55)</f>
        <v xml:space="preserve"> BLUE</v>
      </c>
      <c r="H53" t="s">
        <v>55</v>
      </c>
    </row>
    <row r="54" spans="1:8" x14ac:dyDescent="0.2">
      <c r="A54">
        <v>102</v>
      </c>
      <c r="B54">
        <v>1</v>
      </c>
      <c r="C54" s="1">
        <v>45337</v>
      </c>
      <c r="D54">
        <v>30</v>
      </c>
      <c r="E54" t="s">
        <v>5</v>
      </c>
      <c r="G54" t="str">
        <f>LOWER(C33)</f>
        <v>us</v>
      </c>
      <c r="H54" t="s">
        <v>56</v>
      </c>
    </row>
    <row r="55" spans="1:8" x14ac:dyDescent="0.2">
      <c r="A55" t="s">
        <v>34</v>
      </c>
      <c r="B55">
        <v>2</v>
      </c>
      <c r="C55" s="1">
        <v>45342</v>
      </c>
      <c r="D55" t="e">
        <f>20/0</f>
        <v>#DIV/0!</v>
      </c>
      <c r="E55" t="s">
        <v>6</v>
      </c>
      <c r="G55" t="str" cm="1">
        <f t="array" ref="G55:G59">(C29:C33) &amp; "_" &amp; A29:A33</f>
        <v>CA_1</v>
      </c>
      <c r="H55" t="s">
        <v>57</v>
      </c>
    </row>
    <row r="56" spans="1:8" x14ac:dyDescent="0.2">
      <c r="A56">
        <v>104</v>
      </c>
      <c r="B56">
        <v>3</v>
      </c>
      <c r="C56" s="1">
        <v>45356</v>
      </c>
      <c r="D56">
        <v>80</v>
      </c>
      <c r="E56" t="s">
        <v>5</v>
      </c>
      <c r="G56" t="str">
        <v>CA_2</v>
      </c>
    </row>
    <row r="57" spans="1:8" x14ac:dyDescent="0.2">
      <c r="B57" s="5">
        <v>2</v>
      </c>
      <c r="C57" s="6">
        <v>45511</v>
      </c>
      <c r="D57">
        <v>100</v>
      </c>
      <c r="E57" t="s">
        <v>6</v>
      </c>
      <c r="G57" t="str">
        <v>UK_3</v>
      </c>
    </row>
    <row r="58" spans="1:8" x14ac:dyDescent="0.2">
      <c r="C58" s="1"/>
      <c r="G58" t="str">
        <v>US_4</v>
      </c>
    </row>
    <row r="59" spans="1:8" x14ac:dyDescent="0.2">
      <c r="C59" s="1"/>
      <c r="G59" t="str">
        <v>US_5</v>
      </c>
    </row>
    <row r="60" spans="1:8" x14ac:dyDescent="0.2">
      <c r="C60" s="1"/>
    </row>
    <row r="61" spans="1:8" x14ac:dyDescent="0.2">
      <c r="A61" t="s">
        <v>58</v>
      </c>
    </row>
    <row r="62" spans="1:8" x14ac:dyDescent="0.2">
      <c r="A62" t="s">
        <v>59</v>
      </c>
      <c r="B62" t="s">
        <v>60</v>
      </c>
      <c r="C62" t="s">
        <v>61</v>
      </c>
    </row>
    <row r="64" spans="1:8" x14ac:dyDescent="0.2">
      <c r="A64" t="s">
        <v>63</v>
      </c>
      <c r="B64" t="s">
        <v>62</v>
      </c>
      <c r="C64" t="s">
        <v>66</v>
      </c>
    </row>
    <row r="65" spans="1:2" x14ac:dyDescent="0.2">
      <c r="A65" t="s">
        <v>64</v>
      </c>
      <c r="B65" t="s">
        <v>65</v>
      </c>
    </row>
  </sheetData>
  <conditionalFormatting sqref="A50:A51">
    <cfRule type="duplicateValues" dxfId="0" priority="1"/>
  </conditionalFormatting>
  <dataValidations count="1">
    <dataValidation type="whole" operator="greaterThanOrEqual" allowBlank="1" showInputMessage="1" showErrorMessage="1" errorTitle="Error!" error="Must be a minimum revenue of 0" sqref="A58:E60" xr:uid="{4B097EDE-6C49-B142-91A0-56295F0D4B9A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FE56-087D-AB4A-A8B5-17F73B070DF8}">
  <dimension ref="A1:E10"/>
  <sheetViews>
    <sheetView workbookViewId="0">
      <selection activeCell="B13" sqref="B1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101</v>
      </c>
      <c r="B2">
        <v>1</v>
      </c>
      <c r="C2" s="1">
        <v>45323</v>
      </c>
      <c r="D2">
        <v>50</v>
      </c>
      <c r="E2" t="s">
        <v>5</v>
      </c>
    </row>
    <row r="3" spans="1:5" x14ac:dyDescent="0.2">
      <c r="A3">
        <v>102</v>
      </c>
      <c r="B3">
        <v>1</v>
      </c>
      <c r="C3" s="1">
        <v>45337</v>
      </c>
      <c r="D3">
        <v>30</v>
      </c>
      <c r="E3" t="s">
        <v>5</v>
      </c>
    </row>
    <row r="4" spans="1:5" x14ac:dyDescent="0.2">
      <c r="A4">
        <v>103</v>
      </c>
      <c r="B4">
        <v>2</v>
      </c>
      <c r="C4" s="1">
        <v>45342</v>
      </c>
      <c r="D4">
        <v>20</v>
      </c>
      <c r="E4" t="s">
        <v>6</v>
      </c>
    </row>
    <row r="5" spans="1:5" x14ac:dyDescent="0.2">
      <c r="A5">
        <v>104</v>
      </c>
      <c r="B5">
        <v>3</v>
      </c>
      <c r="C5" s="1">
        <v>45356</v>
      </c>
      <c r="D5">
        <v>80</v>
      </c>
      <c r="E5" t="s">
        <v>5</v>
      </c>
    </row>
    <row r="7" spans="1:5" x14ac:dyDescent="0.2">
      <c r="A7" t="str" cm="1">
        <f t="array" ref="A7:A10">IF((D2:D5)&gt;50, "High Revenue", "Low Revenue")</f>
        <v>Low Revenue</v>
      </c>
    </row>
    <row r="8" spans="1:5" x14ac:dyDescent="0.2">
      <c r="A8" t="str">
        <v>Low Revenue</v>
      </c>
    </row>
    <row r="9" spans="1:5" x14ac:dyDescent="0.2">
      <c r="A9" t="str">
        <v>Low Revenue</v>
      </c>
    </row>
    <row r="10" spans="1:5" x14ac:dyDescent="0.2">
      <c r="A10" t="str">
        <v>High Revenue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36C7-5C36-ED47-8100-9D5DEF5D7794}">
  <dimension ref="A1:G5"/>
  <sheetViews>
    <sheetView workbookViewId="0">
      <selection activeCell="G5" sqref="G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">
      <c r="A2">
        <v>101</v>
      </c>
      <c r="B2">
        <v>1</v>
      </c>
      <c r="C2" s="1">
        <v>45323</v>
      </c>
      <c r="D2">
        <v>50</v>
      </c>
      <c r="E2" t="s">
        <v>5</v>
      </c>
      <c r="G2">
        <f>SUM(D2:D5)</f>
        <v>180</v>
      </c>
    </row>
    <row r="3" spans="1:7" x14ac:dyDescent="0.2">
      <c r="A3">
        <v>102</v>
      </c>
      <c r="B3">
        <v>1</v>
      </c>
      <c r="C3" s="1">
        <v>45337</v>
      </c>
      <c r="D3">
        <v>30</v>
      </c>
      <c r="E3" t="s">
        <v>5</v>
      </c>
      <c r="G3">
        <f>AVERAGE(D2:D5)</f>
        <v>45</v>
      </c>
    </row>
    <row r="4" spans="1:7" x14ac:dyDescent="0.2">
      <c r="A4">
        <v>103</v>
      </c>
      <c r="B4">
        <v>2</v>
      </c>
      <c r="C4" s="1">
        <v>45342</v>
      </c>
      <c r="D4">
        <v>20</v>
      </c>
      <c r="E4" t="s">
        <v>6</v>
      </c>
      <c r="G4">
        <f>MAX(D2:D5)</f>
        <v>80</v>
      </c>
    </row>
    <row r="5" spans="1:7" x14ac:dyDescent="0.2">
      <c r="A5">
        <v>104</v>
      </c>
      <c r="B5">
        <v>3</v>
      </c>
      <c r="C5" s="1">
        <v>45356</v>
      </c>
      <c r="D5">
        <v>80</v>
      </c>
      <c r="E5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93CC-F102-5042-AFB4-2DA3E33BDB09}">
  <dimension ref="A1:D12"/>
  <sheetViews>
    <sheetView workbookViewId="0">
      <selection activeCell="A8" sqref="A8"/>
    </sheetView>
  </sheetViews>
  <sheetFormatPr baseColWidth="10" defaultRowHeight="16" x14ac:dyDescent="0.2"/>
  <sheetData>
    <row r="1" spans="1:4" x14ac:dyDescent="0.2">
      <c r="A1" t="s">
        <v>1</v>
      </c>
      <c r="B1" t="s">
        <v>7</v>
      </c>
      <c r="C1" t="s">
        <v>8</v>
      </c>
      <c r="D1" t="s">
        <v>3</v>
      </c>
    </row>
    <row r="2" spans="1:4" x14ac:dyDescent="0.2">
      <c r="A2">
        <v>1</v>
      </c>
      <c r="B2" s="3">
        <v>45292</v>
      </c>
      <c r="C2" s="4" t="s">
        <v>10</v>
      </c>
      <c r="D2">
        <v>50</v>
      </c>
    </row>
    <row r="3" spans="1:4" x14ac:dyDescent="0.2">
      <c r="A3">
        <v>2</v>
      </c>
      <c r="B3" s="3">
        <v>45294</v>
      </c>
      <c r="C3" s="4" t="s">
        <v>10</v>
      </c>
      <c r="D3">
        <v>30</v>
      </c>
    </row>
    <row r="4" spans="1:4" x14ac:dyDescent="0.2">
      <c r="A4">
        <v>3</v>
      </c>
      <c r="B4" s="3">
        <v>45296</v>
      </c>
      <c r="C4" s="4" t="s">
        <v>11</v>
      </c>
      <c r="D4">
        <v>20</v>
      </c>
    </row>
    <row r="5" spans="1:4" x14ac:dyDescent="0.2">
      <c r="A5">
        <v>4</v>
      </c>
      <c r="B5" s="3">
        <v>45298</v>
      </c>
      <c r="C5" s="4" t="s">
        <v>9</v>
      </c>
      <c r="D5">
        <v>80</v>
      </c>
    </row>
    <row r="6" spans="1:4" x14ac:dyDescent="0.2">
      <c r="A6">
        <v>5</v>
      </c>
      <c r="B6" s="3">
        <v>45301</v>
      </c>
      <c r="C6" s="4" t="s">
        <v>9</v>
      </c>
      <c r="D6">
        <v>35</v>
      </c>
    </row>
    <row r="8" spans="1:4" x14ac:dyDescent="0.2">
      <c r="A8">
        <f>SUMIFS(D2:D6, C2:C6, "US")</f>
        <v>115</v>
      </c>
    </row>
    <row r="9" spans="1:4" x14ac:dyDescent="0.2">
      <c r="C9" s="1"/>
    </row>
    <row r="10" spans="1:4" x14ac:dyDescent="0.2">
      <c r="C10" s="1"/>
    </row>
    <row r="11" spans="1:4" x14ac:dyDescent="0.2">
      <c r="C11" s="1"/>
    </row>
    <row r="12" spans="1:4" x14ac:dyDescent="0.2">
      <c r="C1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CAA5-5518-F24F-A05C-02A8F3620C9D}">
  <dimension ref="A1:C6"/>
  <sheetViews>
    <sheetView workbookViewId="0">
      <selection activeCell="C6" sqref="A1:C6"/>
    </sheetView>
  </sheetViews>
  <sheetFormatPr baseColWidth="10" defaultRowHeight="16" x14ac:dyDescent="0.2"/>
  <sheetData>
    <row r="1" spans="1:3" x14ac:dyDescent="0.2">
      <c r="A1" t="s">
        <v>1</v>
      </c>
      <c r="B1" t="s">
        <v>7</v>
      </c>
      <c r="C1" t="s">
        <v>8</v>
      </c>
    </row>
    <row r="2" spans="1:3" x14ac:dyDescent="0.2">
      <c r="A2">
        <v>1</v>
      </c>
      <c r="B2" s="3">
        <v>45292</v>
      </c>
      <c r="C2" s="4" t="s">
        <v>10</v>
      </c>
    </row>
    <row r="3" spans="1:3" x14ac:dyDescent="0.2">
      <c r="A3">
        <v>2</v>
      </c>
      <c r="B3" s="3">
        <v>45294</v>
      </c>
      <c r="C3" s="4" t="s">
        <v>10</v>
      </c>
    </row>
    <row r="4" spans="1:3" x14ac:dyDescent="0.2">
      <c r="A4">
        <v>3</v>
      </c>
      <c r="B4" s="3">
        <v>45296</v>
      </c>
      <c r="C4" s="4" t="s">
        <v>11</v>
      </c>
    </row>
    <row r="5" spans="1:3" x14ac:dyDescent="0.2">
      <c r="A5">
        <v>4</v>
      </c>
      <c r="B5" s="3">
        <v>45298</v>
      </c>
      <c r="C5" s="4" t="s">
        <v>9</v>
      </c>
    </row>
    <row r="6" spans="1:3" x14ac:dyDescent="0.2">
      <c r="A6">
        <v>5</v>
      </c>
      <c r="B6" s="3">
        <v>45301</v>
      </c>
      <c r="C6" s="4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03B1-6AAE-DA44-AE69-3C6481429DA1}">
  <dimension ref="A1:E5"/>
  <sheetViews>
    <sheetView workbookViewId="0">
      <selection activeCell="E5" sqref="A1:E5"/>
    </sheetView>
  </sheetViews>
  <sheetFormatPr baseColWidth="10" defaultRowHeight="16" x14ac:dyDescent="0.2"/>
  <sheetData>
    <row r="1" spans="1:5" x14ac:dyDescent="0.2">
      <c r="A1" t="s">
        <v>12</v>
      </c>
      <c r="B1" t="s">
        <v>0</v>
      </c>
      <c r="C1" t="s">
        <v>13</v>
      </c>
      <c r="D1" t="s">
        <v>18</v>
      </c>
      <c r="E1" t="s">
        <v>19</v>
      </c>
    </row>
    <row r="2" spans="1:5" x14ac:dyDescent="0.2">
      <c r="A2">
        <v>1</v>
      </c>
      <c r="B2">
        <v>101</v>
      </c>
      <c r="C2" t="s">
        <v>14</v>
      </c>
      <c r="D2">
        <v>1</v>
      </c>
      <c r="E2">
        <v>50</v>
      </c>
    </row>
    <row r="3" spans="1:5" x14ac:dyDescent="0.2">
      <c r="A3">
        <v>2</v>
      </c>
      <c r="B3">
        <v>102</v>
      </c>
      <c r="C3" t="s">
        <v>15</v>
      </c>
      <c r="D3">
        <v>1</v>
      </c>
      <c r="E3">
        <v>30</v>
      </c>
    </row>
    <row r="4" spans="1:5" x14ac:dyDescent="0.2">
      <c r="A4">
        <v>3</v>
      </c>
      <c r="B4">
        <v>104</v>
      </c>
      <c r="C4" t="s">
        <v>16</v>
      </c>
      <c r="D4">
        <v>1</v>
      </c>
      <c r="E4">
        <v>80</v>
      </c>
    </row>
    <row r="5" spans="1:5" x14ac:dyDescent="0.2">
      <c r="A5">
        <v>4</v>
      </c>
      <c r="B5">
        <v>104</v>
      </c>
      <c r="C5" t="s">
        <v>17</v>
      </c>
      <c r="D5">
        <v>2</v>
      </c>
      <c r="E5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5EEF-760A-3E4C-96F4-AE7A11B52379}">
  <dimension ref="A1:E5"/>
  <sheetViews>
    <sheetView workbookViewId="0">
      <selection activeCell="E5" sqref="A1:E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101</v>
      </c>
      <c r="B2">
        <v>1</v>
      </c>
      <c r="C2" s="1">
        <v>45323</v>
      </c>
      <c r="D2">
        <v>50</v>
      </c>
      <c r="E2" t="s">
        <v>5</v>
      </c>
    </row>
    <row r="3" spans="1:5" x14ac:dyDescent="0.2">
      <c r="A3">
        <v>102</v>
      </c>
      <c r="B3">
        <v>1</v>
      </c>
      <c r="C3" s="1">
        <v>45337</v>
      </c>
      <c r="D3">
        <v>30</v>
      </c>
      <c r="E3" t="s">
        <v>5</v>
      </c>
    </row>
    <row r="4" spans="1:5" x14ac:dyDescent="0.2">
      <c r="A4">
        <v>103</v>
      </c>
      <c r="B4">
        <v>2</v>
      </c>
      <c r="C4" s="1">
        <v>45342</v>
      </c>
      <c r="D4">
        <v>20</v>
      </c>
      <c r="E4" t="s">
        <v>6</v>
      </c>
    </row>
    <row r="5" spans="1:5" x14ac:dyDescent="0.2">
      <c r="A5">
        <v>104</v>
      </c>
      <c r="B5">
        <v>3</v>
      </c>
      <c r="C5" s="1">
        <v>45356</v>
      </c>
      <c r="D5">
        <v>80</v>
      </c>
      <c r="E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Practice</vt:lpstr>
      <vt:lpstr>Problem 1</vt:lpstr>
      <vt:lpstr>Problem 2</vt:lpstr>
      <vt:lpstr>Problem 3</vt:lpstr>
      <vt:lpstr>Users</vt:lpstr>
      <vt:lpstr>Order Items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Shryer</dc:creator>
  <cp:lastModifiedBy>Dylan Shryer</cp:lastModifiedBy>
  <dcterms:created xsi:type="dcterms:W3CDTF">2026-01-26T00:41:18Z</dcterms:created>
  <dcterms:modified xsi:type="dcterms:W3CDTF">2026-01-26T10:50:04Z</dcterms:modified>
</cp:coreProperties>
</file>