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Summary/"/>
    </mc:Choice>
  </mc:AlternateContent>
  <xr:revisionPtr revIDLastSave="188" documentId="8_{83230059-317E-C34E-8604-51D21670F4CD}" xr6:coauthVersionLast="47" xr6:coauthVersionMax="47" xr10:uidLastSave="{0217C796-215B-B446-B06C-1B4310438983}"/>
  <bookViews>
    <workbookView xWindow="0" yWindow="760" windowWidth="30240" windowHeight="17680" xr2:uid="{0E9F88F3-5439-5249-AC11-B5DC76B709E9}"/>
  </bookViews>
  <sheets>
    <sheet name="Practice" sheetId="11" r:id="rId1"/>
    <sheet name="Problem 1" sheetId="14" r:id="rId2"/>
    <sheet name="Problem 2" sheetId="15" r:id="rId3"/>
    <sheet name="Problem 3" sheetId="16" r:id="rId4"/>
    <sheet name="Users" sheetId="6" r:id="rId5"/>
    <sheet name="Order Items" sheetId="2" r:id="rId6"/>
    <sheet name="Order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1" l="1"/>
  <c r="K18" i="11" a="1"/>
  <c r="K18" i="11" s="1"/>
  <c r="P18" i="11" a="1"/>
  <c r="P18" i="11" s="1"/>
  <c r="R7" i="11"/>
  <c r="R3" i="11"/>
  <c r="R11" i="11"/>
  <c r="R12" i="11"/>
  <c r="R13" i="11"/>
  <c r="R10" i="11"/>
  <c r="K10" i="11"/>
  <c r="K11" i="11"/>
  <c r="K12" i="11"/>
  <c r="K13" i="11"/>
  <c r="R4" i="11"/>
  <c r="R5" i="11"/>
  <c r="R6" i="11"/>
  <c r="K3" i="11"/>
  <c r="K6" i="11"/>
  <c r="K5" i="11"/>
  <c r="K4" i="11"/>
  <c r="A7" i="14" a="1"/>
  <c r="A7" i="14" s="1"/>
  <c r="A8" i="16"/>
  <c r="G4" i="15"/>
  <c r="G3" i="15"/>
  <c r="G2" i="1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<sst xmlns="http://schemas.openxmlformats.org/spreadsheetml/2006/main" count="130" uniqueCount="29">
  <si>
    <t>order_id</t>
  </si>
  <si>
    <t>user_id</t>
  </si>
  <si>
    <t>order_date</t>
  </si>
  <si>
    <t>revenue</t>
  </si>
  <si>
    <t>status</t>
  </si>
  <si>
    <t>completed</t>
  </si>
  <si>
    <t>cancelled</t>
  </si>
  <si>
    <t>signup_date</t>
  </si>
  <si>
    <t>country</t>
  </si>
  <si>
    <t>US</t>
  </si>
  <si>
    <t>CA</t>
  </si>
  <si>
    <t>UK</t>
  </si>
  <si>
    <t>item_id</t>
  </si>
  <si>
    <t>product</t>
  </si>
  <si>
    <t>Keyboard</t>
  </si>
  <si>
    <t>Mouse</t>
  </si>
  <si>
    <t>Monitor</t>
  </si>
  <si>
    <t>HDMI Cable</t>
  </si>
  <si>
    <t>quantity</t>
  </si>
  <si>
    <t>item_price</t>
  </si>
  <si>
    <t>XLOOKUP</t>
  </si>
  <si>
    <t>VLOOKUP</t>
  </si>
  <si>
    <t>FILTER</t>
  </si>
  <si>
    <t>XLOOKUP with lookup keys mapping to multiple rows with identical values (countries of orders)</t>
  </si>
  <si>
    <t>VLOOKUP with lookup keys mapping to multiple rows with identical values (countries of orders)</t>
  </si>
  <si>
    <t>XLOOKUP with lookup keys mapping to multiple rows with different values (skipped one - revenue of each user)</t>
  </si>
  <si>
    <t>VLOOKUP with lookup keys mapping to multiple rows with different values (skipped one - revenue of each user)</t>
  </si>
  <si>
    <t>FILTER + XLOOKUP (orders of each user from CA)</t>
  </si>
  <si>
    <t>FILTER + MATCH (only revenues from CA users)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</si>
</sst>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merican Typewriter"/>
      <family val="1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" fontId="0" fillId="0" borderId="0" xfId="0" applyNumberFormat="1"/>
    <xf numFmtId="14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16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237C-4BCB-8B43-8705-51FE7987F7E1}">
  <dimension ref="A1:T60"/>
  <sheetViews>
    <sheetView tabSelected="1" zoomScale="112" workbookViewId="0">
      <selection activeCell="E7" sqref="E7"/>
    </sheetView>
  </sheetViews>
  <sheetFormatPr baseColWidth="10" defaultRowHeight="16" x14ac:dyDescent="0.2"/>
  <cols>
    <col min="2" max="2" width="13.5" customWidth="1"/>
  </cols>
  <sheetData>
    <row r="1" spans="1:20" x14ac:dyDescent="0.2">
      <c r="A1" t="s">
        <v>20</v>
      </c>
      <c r="E1" s="7"/>
    </row>
    <row r="2" spans="1:20" x14ac:dyDescent="0.2">
      <c r="A2" t="s">
        <v>1</v>
      </c>
      <c r="B2" t="s">
        <v>7</v>
      </c>
      <c r="C2" t="s">
        <v>8</v>
      </c>
      <c r="E2" t="s">
        <v>0</v>
      </c>
      <c r="F2" t="s">
        <v>1</v>
      </c>
      <c r="G2" t="s">
        <v>2</v>
      </c>
      <c r="H2" t="s">
        <v>3</v>
      </c>
      <c r="I2" t="s">
        <v>4</v>
      </c>
    </row>
    <row r="3" spans="1:20" x14ac:dyDescent="0.2">
      <c r="A3">
        <v>1</v>
      </c>
      <c r="B3" s="3">
        <v>45292</v>
      </c>
      <c r="C3" s="4" t="s">
        <v>10</v>
      </c>
      <c r="E3">
        <v>101</v>
      </c>
      <c r="F3">
        <v>1</v>
      </c>
      <c r="G3" s="1">
        <v>45323</v>
      </c>
      <c r="H3">
        <v>50</v>
      </c>
      <c r="I3" t="s">
        <v>5</v>
      </c>
      <c r="K3" t="str">
        <f>_xlfn.XLOOKUP(F3, $A$3:$A$7, $C$3:$C$7, "What the hecky!")</f>
        <v>CA</v>
      </c>
      <c r="L3" t="s">
        <v>23</v>
      </c>
      <c r="R3">
        <f>_xlfn.XLOOKUP(A3, $F$3:$F$6, $H$3:$H$6, "What the hecky!")</f>
        <v>50</v>
      </c>
      <c r="T3" t="s">
        <v>25</v>
      </c>
    </row>
    <row r="4" spans="1:20" x14ac:dyDescent="0.2">
      <c r="A4">
        <v>2</v>
      </c>
      <c r="B4" s="3">
        <v>45294</v>
      </c>
      <c r="C4" s="4" t="s">
        <v>10</v>
      </c>
      <c r="E4">
        <v>102</v>
      </c>
      <c r="F4">
        <v>1</v>
      </c>
      <c r="G4" s="1">
        <v>45337</v>
      </c>
      <c r="H4">
        <v>30</v>
      </c>
      <c r="I4" t="s">
        <v>5</v>
      </c>
      <c r="K4" t="str">
        <f>_xlfn.XLOOKUP(F4, $A$3:$A$7, $C$3:$C$7, "What the hecky!")</f>
        <v>CA</v>
      </c>
      <c r="R4">
        <f>_xlfn.XLOOKUP(A4, $F$3:$F$6, $H$3:$H$6, "What the hecky!")</f>
        <v>20</v>
      </c>
    </row>
    <row r="5" spans="1:20" x14ac:dyDescent="0.2">
      <c r="A5">
        <v>3</v>
      </c>
      <c r="B5" s="3">
        <v>45296</v>
      </c>
      <c r="C5" s="4" t="s">
        <v>11</v>
      </c>
      <c r="E5">
        <v>103</v>
      </c>
      <c r="F5">
        <v>2</v>
      </c>
      <c r="G5" s="1">
        <v>45342</v>
      </c>
      <c r="H5">
        <v>20</v>
      </c>
      <c r="I5" t="s">
        <v>6</v>
      </c>
      <c r="K5" t="str">
        <f>_xlfn.XLOOKUP(F5, $A$3:$A$7, $C$3:$C$7, "What the hecky!")</f>
        <v>CA</v>
      </c>
      <c r="R5">
        <f t="shared" ref="R4:R7" si="0">_xlfn.XLOOKUP(A5, $F$3:$F$6, $H$3:$H$6, "What the hecky!")</f>
        <v>80</v>
      </c>
    </row>
    <row r="6" spans="1:20" x14ac:dyDescent="0.2">
      <c r="A6">
        <v>4</v>
      </c>
      <c r="B6" s="3">
        <v>45298</v>
      </c>
      <c r="C6" s="4" t="s">
        <v>9</v>
      </c>
      <c r="E6">
        <v>104</v>
      </c>
      <c r="F6">
        <v>3</v>
      </c>
      <c r="G6" s="1">
        <v>45356</v>
      </c>
      <c r="H6">
        <v>80</v>
      </c>
      <c r="I6" t="s">
        <v>5</v>
      </c>
      <c r="K6" t="str">
        <f>_xlfn.XLOOKUP(F6, $A$3:$A$7, $C$3:$C$7, "What the hecky!")</f>
        <v>UK</v>
      </c>
      <c r="R6" t="str">
        <f t="shared" si="0"/>
        <v>What the hecky!</v>
      </c>
    </row>
    <row r="7" spans="1:20" x14ac:dyDescent="0.2">
      <c r="A7">
        <v>5</v>
      </c>
      <c r="B7" s="3">
        <v>45301</v>
      </c>
      <c r="C7" s="4" t="s">
        <v>9</v>
      </c>
      <c r="R7" t="str">
        <f t="shared" si="0"/>
        <v>What the hecky!</v>
      </c>
    </row>
    <row r="9" spans="1:20" x14ac:dyDescent="0.2">
      <c r="A9" t="s">
        <v>21</v>
      </c>
    </row>
    <row r="10" spans="1:20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G10" t="s">
        <v>1</v>
      </c>
      <c r="H10" t="s">
        <v>7</v>
      </c>
      <c r="I10" t="s">
        <v>8</v>
      </c>
      <c r="K10" t="str">
        <f>VLOOKUP(B11,  $G$10:$I$15, 3, FALSE)</f>
        <v>CA</v>
      </c>
      <c r="L10" t="s">
        <v>24</v>
      </c>
      <c r="R10">
        <f>VLOOKUP(G11,  B10:E14, 3, FALSE)</f>
        <v>50</v>
      </c>
      <c r="S10" t="s">
        <v>26</v>
      </c>
    </row>
    <row r="11" spans="1:20" x14ac:dyDescent="0.2">
      <c r="A11">
        <v>101</v>
      </c>
      <c r="B11">
        <v>1</v>
      </c>
      <c r="C11" s="1">
        <v>45323</v>
      </c>
      <c r="D11">
        <v>50</v>
      </c>
      <c r="E11" t="s">
        <v>5</v>
      </c>
      <c r="G11">
        <v>1</v>
      </c>
      <c r="H11" s="3">
        <v>45292</v>
      </c>
      <c r="I11" s="4" t="s">
        <v>10</v>
      </c>
      <c r="K11" t="str">
        <f t="shared" ref="K11:K13" si="1">VLOOKUP(B12,  $G$10:$I$15, 3, FALSE)</f>
        <v>CA</v>
      </c>
      <c r="R11">
        <f t="shared" ref="R11:R13" si="2">VLOOKUP(G12,  B11:E15, 3, FALSE)</f>
        <v>20</v>
      </c>
    </row>
    <row r="12" spans="1:20" x14ac:dyDescent="0.2">
      <c r="A12">
        <v>102</v>
      </c>
      <c r="B12">
        <v>1</v>
      </c>
      <c r="C12" s="1">
        <v>45337</v>
      </c>
      <c r="D12">
        <v>30</v>
      </c>
      <c r="E12" t="s">
        <v>5</v>
      </c>
      <c r="G12">
        <v>2</v>
      </c>
      <c r="H12" s="3">
        <v>45294</v>
      </c>
      <c r="I12" s="4" t="s">
        <v>10</v>
      </c>
      <c r="K12" t="str">
        <f t="shared" si="1"/>
        <v>CA</v>
      </c>
      <c r="R12">
        <f t="shared" si="2"/>
        <v>80</v>
      </c>
    </row>
    <row r="13" spans="1:20" x14ac:dyDescent="0.2">
      <c r="A13">
        <v>103</v>
      </c>
      <c r="B13">
        <v>2</v>
      </c>
      <c r="C13" s="1">
        <v>45342</v>
      </c>
      <c r="D13">
        <v>20</v>
      </c>
      <c r="E13" t="s">
        <v>6</v>
      </c>
      <c r="G13">
        <v>3</v>
      </c>
      <c r="H13" s="3">
        <v>45296</v>
      </c>
      <c r="I13" s="4" t="s">
        <v>11</v>
      </c>
      <c r="K13" t="str">
        <f t="shared" si="1"/>
        <v>UK</v>
      </c>
      <c r="R13" t="e">
        <f t="shared" si="2"/>
        <v>#N/A</v>
      </c>
    </row>
    <row r="14" spans="1:20" x14ac:dyDescent="0.2">
      <c r="A14">
        <v>104</v>
      </c>
      <c r="B14">
        <v>3</v>
      </c>
      <c r="C14" s="1">
        <v>45356</v>
      </c>
      <c r="D14">
        <v>80</v>
      </c>
      <c r="E14" t="s">
        <v>5</v>
      </c>
      <c r="G14">
        <v>4</v>
      </c>
      <c r="H14" s="3">
        <v>45298</v>
      </c>
      <c r="I14" s="4" t="s">
        <v>9</v>
      </c>
    </row>
    <row r="15" spans="1:20" x14ac:dyDescent="0.2">
      <c r="B15" s="3"/>
      <c r="C15" s="4"/>
      <c r="G15">
        <v>5</v>
      </c>
      <c r="H15" s="3">
        <v>45301</v>
      </c>
      <c r="I15" s="4" t="s">
        <v>9</v>
      </c>
    </row>
    <row r="16" spans="1:20" x14ac:dyDescent="0.2">
      <c r="B16" s="2"/>
    </row>
    <row r="17" spans="1:17" x14ac:dyDescent="0.2">
      <c r="A17" t="s">
        <v>22</v>
      </c>
      <c r="F17" s="3"/>
      <c r="G17" s="4"/>
    </row>
    <row r="18" spans="1:17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G18" t="s">
        <v>1</v>
      </c>
      <c r="H18" t="s">
        <v>7</v>
      </c>
      <c r="I18" t="s">
        <v>8</v>
      </c>
      <c r="K18" cm="1">
        <f t="array" ref="K18:K20">_xlfn._xlws.FILTER(A19:A22, _xlfn.XLOOKUP(B19:B22, G19:G23, I19:I23) = "CA")</f>
        <v>101</v>
      </c>
      <c r="L18" t="s">
        <v>27</v>
      </c>
      <c r="P18" cm="1">
        <f t="array" ref="P18:P20">_xlfn._xlws.FILTER(D19:D22, ISNUMBER(MATCH(B19:B22, _xlfn._xlws.FILTER(G19:G23, I19:I23 = "CA"), 0)))</f>
        <v>50</v>
      </c>
      <c r="Q18" t="s">
        <v>28</v>
      </c>
    </row>
    <row r="19" spans="1:17" x14ac:dyDescent="0.2">
      <c r="A19">
        <v>101</v>
      </c>
      <c r="B19">
        <v>1</v>
      </c>
      <c r="C19" s="1">
        <v>45323</v>
      </c>
      <c r="D19">
        <v>50</v>
      </c>
      <c r="E19" t="s">
        <v>5</v>
      </c>
      <c r="G19">
        <v>1</v>
      </c>
      <c r="H19" s="3">
        <v>45292</v>
      </c>
      <c r="I19" s="4" t="s">
        <v>10</v>
      </c>
      <c r="K19">
        <v>102</v>
      </c>
      <c r="P19">
        <v>30</v>
      </c>
    </row>
    <row r="20" spans="1:17" x14ac:dyDescent="0.2">
      <c r="A20">
        <v>102</v>
      </c>
      <c r="B20">
        <v>1</v>
      </c>
      <c r="C20" s="1">
        <v>45337</v>
      </c>
      <c r="D20">
        <v>30</v>
      </c>
      <c r="E20" t="s">
        <v>5</v>
      </c>
      <c r="G20">
        <v>2</v>
      </c>
      <c r="H20" s="3">
        <v>45294</v>
      </c>
      <c r="I20" s="4" t="s">
        <v>10</v>
      </c>
      <c r="K20">
        <v>103</v>
      </c>
      <c r="P20">
        <v>20</v>
      </c>
    </row>
    <row r="21" spans="1:17" x14ac:dyDescent="0.2">
      <c r="A21">
        <v>103</v>
      </c>
      <c r="B21">
        <v>2</v>
      </c>
      <c r="C21" s="1">
        <v>45342</v>
      </c>
      <c r="D21">
        <v>20</v>
      </c>
      <c r="E21" t="s">
        <v>6</v>
      </c>
      <c r="G21">
        <v>3</v>
      </c>
      <c r="H21" s="3">
        <v>45296</v>
      </c>
      <c r="I21" s="4" t="s">
        <v>11</v>
      </c>
    </row>
    <row r="22" spans="1:17" x14ac:dyDescent="0.2">
      <c r="A22">
        <v>104</v>
      </c>
      <c r="B22">
        <v>3</v>
      </c>
      <c r="C22" s="1">
        <v>45356</v>
      </c>
      <c r="D22">
        <v>80</v>
      </c>
      <c r="E22" t="s">
        <v>5</v>
      </c>
      <c r="G22">
        <v>4</v>
      </c>
      <c r="H22" s="3">
        <v>45298</v>
      </c>
      <c r="I22" s="4" t="s">
        <v>9</v>
      </c>
      <c r="K22">
        <f>K28</f>
        <v>0</v>
      </c>
    </row>
    <row r="23" spans="1:17" x14ac:dyDescent="0.2">
      <c r="B23" s="3"/>
      <c r="C23" s="4"/>
      <c r="G23">
        <v>5</v>
      </c>
      <c r="H23" s="3">
        <v>45301</v>
      </c>
      <c r="I23" s="4" t="s">
        <v>9</v>
      </c>
    </row>
    <row r="25" spans="1:17" x14ac:dyDescent="0.2">
      <c r="C25" s="1"/>
      <c r="H25" s="3"/>
      <c r="I25" s="4"/>
    </row>
    <row r="26" spans="1:17" x14ac:dyDescent="0.2">
      <c r="A26" t="s">
        <v>0</v>
      </c>
      <c r="B26" t="s">
        <v>1</v>
      </c>
      <c r="C26" t="s">
        <v>2</v>
      </c>
      <c r="D26" t="s">
        <v>3</v>
      </c>
      <c r="E26" t="s">
        <v>4</v>
      </c>
      <c r="G26" t="s">
        <v>1</v>
      </c>
      <c r="H26" t="s">
        <v>7</v>
      </c>
      <c r="I26" t="s">
        <v>8</v>
      </c>
    </row>
    <row r="27" spans="1:17" x14ac:dyDescent="0.2">
      <c r="A27">
        <v>101</v>
      </c>
      <c r="B27">
        <v>1</v>
      </c>
      <c r="C27" s="1">
        <v>45323</v>
      </c>
      <c r="D27">
        <v>50</v>
      </c>
      <c r="E27" t="s">
        <v>5</v>
      </c>
      <c r="G27">
        <v>1</v>
      </c>
      <c r="H27" s="3">
        <v>45292</v>
      </c>
      <c r="I27" s="4" t="s">
        <v>10</v>
      </c>
    </row>
    <row r="28" spans="1:17" x14ac:dyDescent="0.2">
      <c r="A28">
        <v>102</v>
      </c>
      <c r="B28">
        <v>1</v>
      </c>
      <c r="C28" s="1">
        <v>45337</v>
      </c>
      <c r="D28">
        <v>30</v>
      </c>
      <c r="E28" t="s">
        <v>5</v>
      </c>
      <c r="G28">
        <v>2</v>
      </c>
      <c r="H28" s="3">
        <v>45294</v>
      </c>
      <c r="I28" s="4" t="s">
        <v>10</v>
      </c>
    </row>
    <row r="29" spans="1:17" x14ac:dyDescent="0.2">
      <c r="A29">
        <v>103</v>
      </c>
      <c r="B29">
        <v>2</v>
      </c>
      <c r="C29" s="1">
        <v>45342</v>
      </c>
      <c r="D29">
        <v>20</v>
      </c>
      <c r="E29" t="s">
        <v>6</v>
      </c>
      <c r="G29">
        <v>3</v>
      </c>
      <c r="H29" s="3">
        <v>45296</v>
      </c>
      <c r="I29" s="4" t="s">
        <v>11</v>
      </c>
    </row>
    <row r="30" spans="1:17" x14ac:dyDescent="0.2">
      <c r="A30">
        <v>104</v>
      </c>
      <c r="B30">
        <v>3</v>
      </c>
      <c r="C30" s="1">
        <v>45356</v>
      </c>
      <c r="D30">
        <v>80</v>
      </c>
      <c r="E30" t="s">
        <v>5</v>
      </c>
      <c r="G30">
        <v>4</v>
      </c>
      <c r="H30" s="3">
        <v>45298</v>
      </c>
      <c r="I30" s="4" t="s">
        <v>9</v>
      </c>
    </row>
    <row r="31" spans="1:17" x14ac:dyDescent="0.2">
      <c r="B31" s="3"/>
      <c r="C31" s="4"/>
      <c r="G31">
        <v>5</v>
      </c>
      <c r="H31" s="3">
        <v>45301</v>
      </c>
      <c r="I31" s="4" t="s">
        <v>9</v>
      </c>
    </row>
    <row r="32" spans="1:17" x14ac:dyDescent="0.2">
      <c r="B32" s="3"/>
      <c r="C32" s="4"/>
    </row>
    <row r="33" spans="2:3" x14ac:dyDescent="0.2">
      <c r="B33" s="3"/>
      <c r="C33" s="4"/>
    </row>
    <row r="34" spans="2:3" x14ac:dyDescent="0.2">
      <c r="B34" s="3"/>
      <c r="C34" s="4"/>
    </row>
    <row r="35" spans="2:3" x14ac:dyDescent="0.2">
      <c r="B35" s="3"/>
      <c r="C35" s="4"/>
    </row>
    <row r="37" spans="2:3" x14ac:dyDescent="0.2">
      <c r="B37" s="3"/>
      <c r="C37" s="4"/>
    </row>
    <row r="38" spans="2:3" x14ac:dyDescent="0.2">
      <c r="B38" s="3"/>
      <c r="C38" s="4"/>
    </row>
    <row r="39" spans="2:3" x14ac:dyDescent="0.2">
      <c r="B39" s="3"/>
      <c r="C39" s="4"/>
    </row>
    <row r="40" spans="2:3" x14ac:dyDescent="0.2">
      <c r="B40" s="3"/>
      <c r="C40" s="4"/>
    </row>
    <row r="41" spans="2:3" x14ac:dyDescent="0.2">
      <c r="B41" s="3"/>
      <c r="C41" s="4"/>
    </row>
    <row r="45" spans="2:3" x14ac:dyDescent="0.2">
      <c r="C45" s="1"/>
    </row>
    <row r="46" spans="2:3" x14ac:dyDescent="0.2">
      <c r="C46" s="1"/>
    </row>
    <row r="47" spans="2:3" x14ac:dyDescent="0.2">
      <c r="C47" s="1"/>
    </row>
    <row r="48" spans="2:3" x14ac:dyDescent="0.2">
      <c r="C48" s="1"/>
    </row>
    <row r="49" spans="2:3" x14ac:dyDescent="0.2">
      <c r="B49" s="5"/>
      <c r="C49" s="6"/>
    </row>
    <row r="50" spans="2:3" x14ac:dyDescent="0.2">
      <c r="B50" s="3"/>
      <c r="C50" s="4"/>
    </row>
    <row r="51" spans="2:3" x14ac:dyDescent="0.2">
      <c r="B51" s="3"/>
      <c r="C51" s="4"/>
    </row>
    <row r="53" spans="2:3" x14ac:dyDescent="0.2">
      <c r="C53" s="1"/>
    </row>
    <row r="54" spans="2:3" x14ac:dyDescent="0.2">
      <c r="C54" s="1"/>
    </row>
    <row r="55" spans="2:3" x14ac:dyDescent="0.2">
      <c r="C55" s="1"/>
    </row>
    <row r="56" spans="2:3" x14ac:dyDescent="0.2">
      <c r="C56" s="1"/>
    </row>
    <row r="57" spans="2:3" x14ac:dyDescent="0.2">
      <c r="B57" s="5"/>
      <c r="C57" s="6"/>
    </row>
    <row r="58" spans="2:3" x14ac:dyDescent="0.2">
      <c r="C58" s="1"/>
    </row>
    <row r="59" spans="2:3" x14ac:dyDescent="0.2">
      <c r="C59" s="1"/>
    </row>
    <row r="60" spans="2:3" x14ac:dyDescent="0.2">
      <c r="C60" s="1"/>
    </row>
  </sheetData>
  <conditionalFormatting sqref="A50:A51">
    <cfRule type="duplicateValues" dxfId="0" priority="1"/>
  </conditionalFormatting>
  <dataValidations count="1">
    <dataValidation type="whole" operator="greaterThanOrEqual" allowBlank="1" showInputMessage="1" showErrorMessage="1" errorTitle="Error!" error="Must be a minimum revenue of 0" sqref="A58:E60" xr:uid="{4B097EDE-6C49-B142-91A0-56295F0D4B9A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FE56-087D-AB4A-A8B5-17F73B070DF8}">
  <dimension ref="A1:E10"/>
  <sheetViews>
    <sheetView workbookViewId="0">
      <selection activeCell="B13" sqref="B1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101</v>
      </c>
      <c r="B2">
        <v>1</v>
      </c>
      <c r="C2" s="1">
        <v>45323</v>
      </c>
      <c r="D2">
        <v>50</v>
      </c>
      <c r="E2" t="s">
        <v>5</v>
      </c>
    </row>
    <row r="3" spans="1:5" x14ac:dyDescent="0.2">
      <c r="A3">
        <v>102</v>
      </c>
      <c r="B3">
        <v>1</v>
      </c>
      <c r="C3" s="1">
        <v>45337</v>
      </c>
      <c r="D3">
        <v>30</v>
      </c>
      <c r="E3" t="s">
        <v>5</v>
      </c>
    </row>
    <row r="4" spans="1:5" x14ac:dyDescent="0.2">
      <c r="A4">
        <v>103</v>
      </c>
      <c r="B4">
        <v>2</v>
      </c>
      <c r="C4" s="1">
        <v>45342</v>
      </c>
      <c r="D4">
        <v>20</v>
      </c>
      <c r="E4" t="s">
        <v>6</v>
      </c>
    </row>
    <row r="5" spans="1:5" x14ac:dyDescent="0.2">
      <c r="A5">
        <v>104</v>
      </c>
      <c r="B5">
        <v>3</v>
      </c>
      <c r="C5" s="1">
        <v>45356</v>
      </c>
      <c r="D5">
        <v>80</v>
      </c>
      <c r="E5" t="s">
        <v>5</v>
      </c>
    </row>
    <row r="7" spans="1:5" x14ac:dyDescent="0.2">
      <c r="A7" t="str" cm="1">
        <f t="array" ref="A7:A10">IF((D2:D5)&gt;50, "High Revenue", "Low Revenue")</f>
        <v>Low Revenue</v>
      </c>
    </row>
    <row r="8" spans="1:5" x14ac:dyDescent="0.2">
      <c r="A8" t="str">
        <v>Low Revenue</v>
      </c>
    </row>
    <row r="9" spans="1:5" x14ac:dyDescent="0.2">
      <c r="A9" t="str">
        <v>Low Revenue</v>
      </c>
    </row>
    <row r="10" spans="1:5" x14ac:dyDescent="0.2">
      <c r="A10" t="str">
        <v>High Revenue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36C7-5C36-ED47-8100-9D5DEF5D7794}">
  <dimension ref="A1:G5"/>
  <sheetViews>
    <sheetView workbookViewId="0">
      <selection activeCell="G5" sqref="G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">
      <c r="A2">
        <v>101</v>
      </c>
      <c r="B2">
        <v>1</v>
      </c>
      <c r="C2" s="1">
        <v>45323</v>
      </c>
      <c r="D2">
        <v>50</v>
      </c>
      <c r="E2" t="s">
        <v>5</v>
      </c>
      <c r="G2">
        <f>SUM(D2:D5)</f>
        <v>180</v>
      </c>
    </row>
    <row r="3" spans="1:7" x14ac:dyDescent="0.2">
      <c r="A3">
        <v>102</v>
      </c>
      <c r="B3">
        <v>1</v>
      </c>
      <c r="C3" s="1">
        <v>45337</v>
      </c>
      <c r="D3">
        <v>30</v>
      </c>
      <c r="E3" t="s">
        <v>5</v>
      </c>
      <c r="G3">
        <f>AVERAGE(D2:D5)</f>
        <v>45</v>
      </c>
    </row>
    <row r="4" spans="1:7" x14ac:dyDescent="0.2">
      <c r="A4">
        <v>103</v>
      </c>
      <c r="B4">
        <v>2</v>
      </c>
      <c r="C4" s="1">
        <v>45342</v>
      </c>
      <c r="D4">
        <v>20</v>
      </c>
      <c r="E4" t="s">
        <v>6</v>
      </c>
      <c r="G4">
        <f>MAX(D2:D5)</f>
        <v>80</v>
      </c>
    </row>
    <row r="5" spans="1:7" x14ac:dyDescent="0.2">
      <c r="A5">
        <v>104</v>
      </c>
      <c r="B5">
        <v>3</v>
      </c>
      <c r="C5" s="1">
        <v>45356</v>
      </c>
      <c r="D5">
        <v>80</v>
      </c>
      <c r="E5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93CC-F102-5042-AFB4-2DA3E33BDB09}">
  <dimension ref="A1:D12"/>
  <sheetViews>
    <sheetView workbookViewId="0">
      <selection activeCell="A8" sqref="A8"/>
    </sheetView>
  </sheetViews>
  <sheetFormatPr baseColWidth="10" defaultRowHeight="16" x14ac:dyDescent="0.2"/>
  <sheetData>
    <row r="1" spans="1:4" x14ac:dyDescent="0.2">
      <c r="A1" t="s">
        <v>1</v>
      </c>
      <c r="B1" t="s">
        <v>7</v>
      </c>
      <c r="C1" t="s">
        <v>8</v>
      </c>
      <c r="D1" t="s">
        <v>3</v>
      </c>
    </row>
    <row r="2" spans="1:4" x14ac:dyDescent="0.2">
      <c r="A2">
        <v>1</v>
      </c>
      <c r="B2" s="3">
        <v>45292</v>
      </c>
      <c r="C2" s="4" t="s">
        <v>10</v>
      </c>
      <c r="D2">
        <v>50</v>
      </c>
    </row>
    <row r="3" spans="1:4" x14ac:dyDescent="0.2">
      <c r="A3">
        <v>2</v>
      </c>
      <c r="B3" s="3">
        <v>45294</v>
      </c>
      <c r="C3" s="4" t="s">
        <v>10</v>
      </c>
      <c r="D3">
        <v>30</v>
      </c>
    </row>
    <row r="4" spans="1:4" x14ac:dyDescent="0.2">
      <c r="A4">
        <v>3</v>
      </c>
      <c r="B4" s="3">
        <v>45296</v>
      </c>
      <c r="C4" s="4" t="s">
        <v>11</v>
      </c>
      <c r="D4">
        <v>20</v>
      </c>
    </row>
    <row r="5" spans="1:4" x14ac:dyDescent="0.2">
      <c r="A5">
        <v>4</v>
      </c>
      <c r="B5" s="3">
        <v>45298</v>
      </c>
      <c r="C5" s="4" t="s">
        <v>9</v>
      </c>
      <c r="D5">
        <v>80</v>
      </c>
    </row>
    <row r="6" spans="1:4" x14ac:dyDescent="0.2">
      <c r="A6">
        <v>5</v>
      </c>
      <c r="B6" s="3">
        <v>45301</v>
      </c>
      <c r="C6" s="4" t="s">
        <v>9</v>
      </c>
      <c r="D6">
        <v>35</v>
      </c>
    </row>
    <row r="8" spans="1:4" x14ac:dyDescent="0.2">
      <c r="A8">
        <f>SUMIFS(D2:D6, C2:C6, "US")</f>
        <v>115</v>
      </c>
    </row>
    <row r="9" spans="1:4" x14ac:dyDescent="0.2">
      <c r="C9" s="1"/>
    </row>
    <row r="10" spans="1:4" x14ac:dyDescent="0.2">
      <c r="C10" s="1"/>
    </row>
    <row r="11" spans="1:4" x14ac:dyDescent="0.2">
      <c r="C11" s="1"/>
    </row>
    <row r="12" spans="1:4" x14ac:dyDescent="0.2">
      <c r="C1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CAA5-5518-F24F-A05C-02A8F3620C9D}">
  <dimension ref="A1:C6"/>
  <sheetViews>
    <sheetView workbookViewId="0">
      <selection activeCell="C6" sqref="A1:C6"/>
    </sheetView>
  </sheetViews>
  <sheetFormatPr baseColWidth="10" defaultRowHeight="16" x14ac:dyDescent="0.2"/>
  <sheetData>
    <row r="1" spans="1:3" x14ac:dyDescent="0.2">
      <c r="A1" t="s">
        <v>1</v>
      </c>
      <c r="B1" t="s">
        <v>7</v>
      </c>
      <c r="C1" t="s">
        <v>8</v>
      </c>
    </row>
    <row r="2" spans="1:3" x14ac:dyDescent="0.2">
      <c r="A2">
        <v>1</v>
      </c>
      <c r="B2" s="3">
        <v>45292</v>
      </c>
      <c r="C2" s="4" t="s">
        <v>10</v>
      </c>
    </row>
    <row r="3" spans="1:3" x14ac:dyDescent="0.2">
      <c r="A3">
        <v>2</v>
      </c>
      <c r="B3" s="3">
        <v>45294</v>
      </c>
      <c r="C3" s="4" t="s">
        <v>10</v>
      </c>
    </row>
    <row r="4" spans="1:3" x14ac:dyDescent="0.2">
      <c r="A4">
        <v>3</v>
      </c>
      <c r="B4" s="3">
        <v>45296</v>
      </c>
      <c r="C4" s="4" t="s">
        <v>11</v>
      </c>
    </row>
    <row r="5" spans="1:3" x14ac:dyDescent="0.2">
      <c r="A5">
        <v>4</v>
      </c>
      <c r="B5" s="3">
        <v>45298</v>
      </c>
      <c r="C5" s="4" t="s">
        <v>9</v>
      </c>
    </row>
    <row r="6" spans="1:3" x14ac:dyDescent="0.2">
      <c r="A6">
        <v>5</v>
      </c>
      <c r="B6" s="3">
        <v>45301</v>
      </c>
      <c r="C6" s="4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03B1-6AAE-DA44-AE69-3C6481429DA1}">
  <dimension ref="A1:E5"/>
  <sheetViews>
    <sheetView workbookViewId="0">
      <selection activeCell="E5" sqref="A1:E5"/>
    </sheetView>
  </sheetViews>
  <sheetFormatPr baseColWidth="10" defaultRowHeight="16" x14ac:dyDescent="0.2"/>
  <sheetData>
    <row r="1" spans="1:5" x14ac:dyDescent="0.2">
      <c r="A1" t="s">
        <v>12</v>
      </c>
      <c r="B1" t="s">
        <v>0</v>
      </c>
      <c r="C1" t="s">
        <v>13</v>
      </c>
      <c r="D1" t="s">
        <v>18</v>
      </c>
      <c r="E1" t="s">
        <v>19</v>
      </c>
    </row>
    <row r="2" spans="1:5" x14ac:dyDescent="0.2">
      <c r="A2">
        <v>1</v>
      </c>
      <c r="B2">
        <v>101</v>
      </c>
      <c r="C2" t="s">
        <v>14</v>
      </c>
      <c r="D2">
        <v>1</v>
      </c>
      <c r="E2">
        <v>50</v>
      </c>
    </row>
    <row r="3" spans="1:5" x14ac:dyDescent="0.2">
      <c r="A3">
        <v>2</v>
      </c>
      <c r="B3">
        <v>102</v>
      </c>
      <c r="C3" t="s">
        <v>15</v>
      </c>
      <c r="D3">
        <v>1</v>
      </c>
      <c r="E3">
        <v>30</v>
      </c>
    </row>
    <row r="4" spans="1:5" x14ac:dyDescent="0.2">
      <c r="A4">
        <v>3</v>
      </c>
      <c r="B4">
        <v>104</v>
      </c>
      <c r="C4" t="s">
        <v>16</v>
      </c>
      <c r="D4">
        <v>1</v>
      </c>
      <c r="E4">
        <v>80</v>
      </c>
    </row>
    <row r="5" spans="1:5" x14ac:dyDescent="0.2">
      <c r="A5">
        <v>4</v>
      </c>
      <c r="B5">
        <v>104</v>
      </c>
      <c r="C5" t="s">
        <v>17</v>
      </c>
      <c r="D5">
        <v>2</v>
      </c>
      <c r="E5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5EEF-760A-3E4C-96F4-AE7A11B52379}">
  <dimension ref="A1:E5"/>
  <sheetViews>
    <sheetView workbookViewId="0">
      <selection activeCell="E5" sqref="A1:E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101</v>
      </c>
      <c r="B2">
        <v>1</v>
      </c>
      <c r="C2" s="1">
        <v>45323</v>
      </c>
      <c r="D2">
        <v>50</v>
      </c>
      <c r="E2" t="s">
        <v>5</v>
      </c>
    </row>
    <row r="3" spans="1:5" x14ac:dyDescent="0.2">
      <c r="A3">
        <v>102</v>
      </c>
      <c r="B3">
        <v>1</v>
      </c>
      <c r="C3" s="1">
        <v>45337</v>
      </c>
      <c r="D3">
        <v>30</v>
      </c>
      <c r="E3" t="s">
        <v>5</v>
      </c>
    </row>
    <row r="4" spans="1:5" x14ac:dyDescent="0.2">
      <c r="A4">
        <v>103</v>
      </c>
      <c r="B4">
        <v>2</v>
      </c>
      <c r="C4" s="1">
        <v>45342</v>
      </c>
      <c r="D4">
        <v>20</v>
      </c>
      <c r="E4" t="s">
        <v>6</v>
      </c>
    </row>
    <row r="5" spans="1:5" x14ac:dyDescent="0.2">
      <c r="A5">
        <v>104</v>
      </c>
      <c r="B5">
        <v>3</v>
      </c>
      <c r="C5" s="1">
        <v>45356</v>
      </c>
      <c r="D5">
        <v>80</v>
      </c>
      <c r="E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Practice</vt:lpstr>
      <vt:lpstr>Problem 1</vt:lpstr>
      <vt:lpstr>Problem 2</vt:lpstr>
      <vt:lpstr>Problem 3</vt:lpstr>
      <vt:lpstr>Users</vt:lpstr>
      <vt:lpstr>Order Items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Shryer</dc:creator>
  <cp:lastModifiedBy>Dylan Shryer</cp:lastModifiedBy>
  <dcterms:created xsi:type="dcterms:W3CDTF">2026-01-26T00:41:18Z</dcterms:created>
  <dcterms:modified xsi:type="dcterms:W3CDTF">2026-01-27T18:59:08Z</dcterms:modified>
</cp:coreProperties>
</file>